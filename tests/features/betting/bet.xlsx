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<sst xmlns="http://schemas.openxmlformats.org/spreadsheetml/2006/main" count="33" uniqueCount="24">
  <si>
    <t xml:space="preserve">Ratio</t>
  </si>
  <si>
    <t xml:space="preserve">Prizes</t>
  </si>
  <si>
    <t xml:space="preserve">Gross</t>
  </si>
  <si>
    <t xml:space="preserve">Net</t>
  </si>
  <si>
    <t xml:space="preserve">Com Pct</t>
  </si>
  <si>
    <t xml:space="preserve">Total Gross</t>
  </si>
  <si>
    <t xml:space="preserve">Total Net</t>
  </si>
  <si>
    <t xml:space="preserve">Total Com</t>
  </si>
  <si>
    <t xml:space="preserve">Odds</t>
  </si>
  <si>
    <t xml:space="preserve">Winner Index</t>
  </si>
  <si>
    <t xml:space="preserve">Bets</t>
  </si>
  <si>
    <t xml:space="preserve">09000000000</t>
  </si>
  <si>
    <t xml:space="preserve">moderator</t>
  </si>
  <si>
    <t xml:space="preserve">09000000001</t>
  </si>
  <si>
    <t xml:space="preserve">player</t>
  </si>
  <si>
    <t xml:space="preserve">09000000002</t>
  </si>
  <si>
    <t xml:space="preserve">09000000003</t>
  </si>
  <si>
    <t xml:space="preserve">09000000004</t>
  </si>
  <si>
    <t xml:space="preserve">09000000005</t>
  </si>
  <si>
    <t xml:space="preserve">09000000006</t>
  </si>
  <si>
    <t xml:space="preserve">09000000007</t>
  </si>
  <si>
    <t xml:space="preserve">09000000008</t>
  </si>
  <si>
    <t xml:space="preserve">09000000009</t>
  </si>
  <si>
    <t xml:space="preserve">09000000010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</si>
</sst>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8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88"/>
    <col collapsed="false" customWidth="true" hidden="false" outlineLevel="0" max="2" min="2" style="1" width="10.75"/>
    <col collapsed="false" customWidth="true" hidden="false" outlineLevel="0" max="3" min="3" style="1" width="9.92"/>
    <col collapsed="false" customWidth="true" hidden="false" outlineLevel="0" max="4" min="4" style="1" width="8.21"/>
    <col collapsed="false" customWidth="true" hidden="false" outlineLevel="0" max="5" min="5" style="1" width="5.13"/>
    <col collapsed="false" customWidth="true" hidden="false" outlineLevel="0" max="6" min="6" style="1" width="7.65"/>
    <col collapsed="false" customWidth="true" hidden="false" outlineLevel="0" max="7" min="7" style="1" width="7.69"/>
    <col collapsed="false" customWidth="true" hidden="false" outlineLevel="0" max="8" min="8" style="1" width="8.34"/>
    <col collapsed="false" customWidth="true" hidden="false" outlineLevel="0" max="9" min="9" style="1" width="5.13"/>
    <col collapsed="false" customWidth="true" hidden="false" outlineLevel="0" max="10" min="10" style="1" width="8.06"/>
    <col collapsed="false" customWidth="true" hidden="false" outlineLevel="0" max="11" min="11" style="1" width="10.01"/>
    <col collapsed="false" customWidth="true" hidden="false" outlineLevel="0" max="12" min="12" style="1" width="10.57"/>
    <col collapsed="false" customWidth="true" hidden="false" outlineLevel="0" max="73" min="13" style="1" width="5.13"/>
  </cols>
  <sheetData>
    <row r="1" customFormat="false" ht="15.75" hidden="false" customHeight="false" outlineLevel="0" collapsed="false">
      <c r="A1" s="2"/>
      <c r="B1" s="3"/>
      <c r="C1" s="3" t="n">
        <v>0</v>
      </c>
      <c r="D1" s="3" t="n">
        <v>1</v>
      </c>
      <c r="E1" s="3"/>
      <c r="F1" s="3" t="s">
        <v>0</v>
      </c>
      <c r="G1" s="3" t="n">
        <v>0</v>
      </c>
      <c r="H1" s="3" t="n">
        <v>1</v>
      </c>
      <c r="I1" s="3"/>
      <c r="J1" s="3" t="s">
        <v>1</v>
      </c>
      <c r="K1" s="3" t="n">
        <v>0</v>
      </c>
      <c r="L1" s="3" t="n">
        <v>1</v>
      </c>
      <c r="M1" s="3"/>
      <c r="N1" s="3"/>
      <c r="O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customFormat="false" ht="15.75" hidden="false" customHeight="false" outlineLevel="0" collapsed="false">
      <c r="A2" s="2" t="s">
        <v>2</v>
      </c>
      <c r="B2" s="3"/>
      <c r="C2" s="4" t="n">
        <f aca="false">SUM(C14:C101)</f>
        <v>55</v>
      </c>
      <c r="D2" s="5" t="n">
        <f aca="false">SUM(D14:D101)</f>
        <v>75</v>
      </c>
      <c r="E2" s="4"/>
      <c r="F2" s="4"/>
      <c r="G2" s="4"/>
      <c r="H2" s="4"/>
      <c r="I2" s="4"/>
      <c r="J2" s="4"/>
      <c r="K2" s="4"/>
      <c r="L2" s="4"/>
      <c r="M2" s="3"/>
      <c r="N2" s="3"/>
      <c r="O2" s="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customFormat="false" ht="15.75" hidden="false" customHeight="false" outlineLevel="0" collapsed="false">
      <c r="A3" s="2" t="s">
        <v>3</v>
      </c>
      <c r="B3" s="3"/>
      <c r="C3" s="4" t="n">
        <f aca="false">C2-(C2*B4)</f>
        <v>49.5</v>
      </c>
      <c r="D3" s="4" t="n">
        <f aca="false">D2-(D2*B4)</f>
        <v>67.5</v>
      </c>
      <c r="E3" s="4"/>
      <c r="F3" s="4"/>
      <c r="G3" s="4"/>
      <c r="H3" s="4"/>
      <c r="I3" s="4"/>
      <c r="J3" s="4"/>
      <c r="K3" s="4"/>
      <c r="L3" s="4"/>
      <c r="M3" s="3"/>
      <c r="N3" s="3"/>
      <c r="O3" s="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customFormat="false" ht="15.75" hidden="false" customHeight="false" outlineLevel="0" collapsed="false">
      <c r="A4" s="2" t="s">
        <v>4</v>
      </c>
      <c r="B4" s="3" t="n">
        <v>0.1</v>
      </c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3"/>
      <c r="O4" s="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customFormat="false" ht="15.75" hidden="false" customHeight="false" outlineLevel="0" collapsed="false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3"/>
      <c r="N5" s="3"/>
      <c r="O5" s="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customFormat="false" ht="15.75" hidden="false" customHeight="false" outlineLevel="0" collapsed="false">
      <c r="A6" s="2" t="s">
        <v>5</v>
      </c>
      <c r="B6" s="3"/>
      <c r="C6" s="4" t="n">
        <f aca="false">SUM(C2:N2)</f>
        <v>130</v>
      </c>
      <c r="D6" s="4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customFormat="false" ht="15.75" hidden="false" customHeight="false" outlineLevel="0" collapsed="false">
      <c r="A7" s="2" t="s">
        <v>6</v>
      </c>
      <c r="B7" s="3"/>
      <c r="C7" s="4" t="n">
        <f aca="false">C6-(C6*B4)</f>
        <v>117</v>
      </c>
      <c r="D7" s="4"/>
      <c r="E7" s="4"/>
      <c r="F7" s="4"/>
      <c r="G7" s="4" t="n">
        <f aca="false">SUM(G14:G23)</f>
        <v>1</v>
      </c>
      <c r="H7" s="4" t="n">
        <f aca="false">SUM(H14:H23)</f>
        <v>1</v>
      </c>
      <c r="I7" s="4"/>
      <c r="J7" s="4"/>
      <c r="K7" s="4" t="n">
        <f aca="false">SUM(K14:K23)</f>
        <v>117</v>
      </c>
      <c r="L7" s="4" t="n">
        <f aca="false">SUM(L14:L34)</f>
        <v>117</v>
      </c>
      <c r="M7" s="3"/>
      <c r="N7" s="3"/>
      <c r="O7" s="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customFormat="false" ht="15.75" hidden="false" customHeight="false" outlineLevel="0" collapsed="false">
      <c r="A8" s="2" t="s">
        <v>7</v>
      </c>
      <c r="B8" s="3"/>
      <c r="C8" s="4" t="n">
        <f aca="false">C6-C7</f>
        <v>13</v>
      </c>
      <c r="D8" s="4"/>
      <c r="E8" s="4"/>
      <c r="F8" s="4"/>
      <c r="G8" s="4"/>
      <c r="H8" s="4"/>
      <c r="I8" s="4"/>
      <c r="J8" s="4"/>
      <c r="K8" s="4"/>
      <c r="L8" s="4"/>
      <c r="M8" s="3"/>
      <c r="N8" s="3"/>
      <c r="O8" s="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customFormat="false" ht="15.75" hidden="false" customHeight="false" outlineLevel="0" collapsed="false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3"/>
      <c r="N9" s="3"/>
      <c r="O9" s="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customFormat="false" ht="15.75" hidden="false" customHeight="false" outlineLevel="0" collapsed="false">
      <c r="A10" s="2" t="s">
        <v>8</v>
      </c>
      <c r="B10" s="3"/>
      <c r="C10" s="4" t="n">
        <f aca="false">$C$7/C2</f>
        <v>2.12727272727273</v>
      </c>
      <c r="D10" s="4" t="n">
        <f aca="false">$C$7/D2</f>
        <v>1.56</v>
      </c>
      <c r="E10" s="4"/>
      <c r="F10" s="4"/>
      <c r="G10" s="4"/>
      <c r="H10" s="4"/>
      <c r="I10" s="4"/>
      <c r="J10" s="4"/>
      <c r="K10" s="4"/>
      <c r="L10" s="4"/>
      <c r="M10" s="3"/>
      <c r="N10" s="3"/>
      <c r="O10" s="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customFormat="false" ht="15.75" hidden="false" customHeight="false" outlineLevel="0" collapsed="false">
      <c r="A11" s="7" t="s">
        <v>9</v>
      </c>
      <c r="B11" s="3" t="n">
        <v>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3"/>
      <c r="N11" s="3"/>
      <c r="O11" s="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customFormat="false" ht="15.75" hidden="false" customHeight="false" outlineLevel="0" collapsed="false">
      <c r="A12" s="2" t="s">
        <v>10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3"/>
      <c r="N12" s="3"/>
      <c r="O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customFormat="false" ht="15.75" hidden="false" customHeight="false" outlineLevel="0" collapsed="false">
      <c r="A13" s="2" t="s">
        <v>11</v>
      </c>
      <c r="B13" s="3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3"/>
      <c r="O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customFormat="false" ht="15.75" hidden="false" customHeight="false" outlineLevel="0" collapsed="false">
      <c r="A14" s="2" t="s">
        <v>13</v>
      </c>
      <c r="B14" s="3" t="s">
        <v>14</v>
      </c>
      <c r="C14" s="8" t="n">
        <v>10</v>
      </c>
      <c r="D14" s="8"/>
      <c r="E14" s="8"/>
      <c r="F14" s="8"/>
      <c r="G14" s="8" t="n">
        <f aca="false">IF(C14/C2 = 0, "", C14/C2)</f>
        <v>0.181818181818182</v>
      </c>
      <c r="H14" s="8" t="str">
        <f aca="false">IF(D14/D2 = 0, "", D14/D2)</f>
        <v/>
      </c>
      <c r="I14" s="8"/>
      <c r="J14" s="8"/>
      <c r="K14" s="8" t="n">
        <f aca="false">IFERROR(IF($C$7*G14 = 0, "", $C$7*G14), "")</f>
        <v>21.2727272727273</v>
      </c>
      <c r="L14" s="8" t="str">
        <f aca="false">IFERROR(IF($C$7*H14 = 0, "", $C$7*H14), "")</f>
        <v/>
      </c>
      <c r="M14" s="9"/>
      <c r="N14" s="9"/>
      <c r="O14" s="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customFormat="false" ht="15.75" hidden="false" customHeight="false" outlineLevel="0" collapsed="false">
      <c r="A15" s="2" t="s">
        <v>15</v>
      </c>
      <c r="B15" s="3" t="s">
        <v>14</v>
      </c>
      <c r="C15" s="8"/>
      <c r="D15" s="8"/>
      <c r="E15" s="8"/>
      <c r="F15" s="8"/>
      <c r="G15" s="8" t="str">
        <f aca="false">IF(C15/C2 = 0, "", C15/C2)</f>
        <v/>
      </c>
      <c r="H15" s="8" t="str">
        <f aca="false">IF(D15/D2 = 0, "", D15/D2)</f>
        <v/>
      </c>
      <c r="I15" s="8"/>
      <c r="J15" s="8"/>
      <c r="K15" s="8" t="str">
        <f aca="false">IFERROR(IF($C$7*G15 = 0, "", $C$7*G15), "")</f>
        <v/>
      </c>
      <c r="L15" s="8" t="str">
        <f aca="false">IFERROR(IF($C$7*H15 = 0, "", $C$7*H15), "")</f>
        <v/>
      </c>
      <c r="M15" s="9"/>
      <c r="N15" s="9"/>
      <c r="O15" s="9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customFormat="false" ht="15.75" hidden="false" customHeight="false" outlineLevel="0" collapsed="false">
      <c r="A16" s="2" t="s">
        <v>16</v>
      </c>
      <c r="B16" s="3" t="s">
        <v>14</v>
      </c>
      <c r="C16" s="8" t="n">
        <v>5</v>
      </c>
      <c r="D16" s="8"/>
      <c r="E16" s="8"/>
      <c r="F16" s="8"/>
      <c r="G16" s="8" t="n">
        <f aca="false">IF(C16/C2 = 0, "", C16/C2)</f>
        <v>0.0909090909090909</v>
      </c>
      <c r="H16" s="8" t="str">
        <f aca="false">IF(D16/D2 = 0, "", D16/D2)</f>
        <v/>
      </c>
      <c r="I16" s="8"/>
      <c r="J16" s="8"/>
      <c r="K16" s="8" t="n">
        <f aca="false">IFERROR(IF($C$7*G16 = 0, "", $C$7*G16), "")</f>
        <v>10.6363636363636</v>
      </c>
      <c r="L16" s="8" t="str">
        <f aca="false">IFERROR(IF($C$7*H16 = 0, "", $C$7*H16), "")</f>
        <v/>
      </c>
      <c r="M16" s="9"/>
      <c r="N16" s="9"/>
      <c r="O16" s="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customFormat="false" ht="15.75" hidden="false" customHeight="false" outlineLevel="0" collapsed="false">
      <c r="A17" s="2" t="s">
        <v>17</v>
      </c>
      <c r="B17" s="3" t="s">
        <v>14</v>
      </c>
      <c r="C17" s="8"/>
      <c r="D17" s="8" t="n">
        <v>60</v>
      </c>
      <c r="E17" s="8"/>
      <c r="F17" s="8"/>
      <c r="G17" s="8" t="str">
        <f aca="false">IF(C17/C2 = 0, "", C17/C2)</f>
        <v/>
      </c>
      <c r="H17" s="8" t="n">
        <f aca="false">IF(D17/D2 = 0, "", D17/D2)</f>
        <v>0.8</v>
      </c>
      <c r="I17" s="8"/>
      <c r="J17" s="8"/>
      <c r="K17" s="8" t="str">
        <f aca="false">IFERROR(IF($C$7*G17 = 0, "", $C$7*G17), "")</f>
        <v/>
      </c>
      <c r="L17" s="8" t="n">
        <f aca="false">IFERROR(IF($C$7*H17 = 0, "", $C$7*H17), "")</f>
        <v>93.6</v>
      </c>
      <c r="M17" s="9"/>
      <c r="N17" s="9"/>
      <c r="O17" s="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customFormat="false" ht="15.75" hidden="false" customHeight="false" outlineLevel="0" collapsed="false">
      <c r="A18" s="2" t="s">
        <v>18</v>
      </c>
      <c r="B18" s="3" t="s">
        <v>14</v>
      </c>
      <c r="C18" s="8" t="n">
        <v>20</v>
      </c>
      <c r="D18" s="8"/>
      <c r="E18" s="8"/>
      <c r="F18" s="8"/>
      <c r="G18" s="8" t="n">
        <f aca="false">IF(C18/C2 = 0, "", C18/C2)</f>
        <v>0.363636363636364</v>
      </c>
      <c r="H18" s="8" t="str">
        <f aca="false">IF(D18/D2 = 0, "", D18/D2)</f>
        <v/>
      </c>
      <c r="I18" s="8"/>
      <c r="J18" s="8"/>
      <c r="K18" s="8" t="n">
        <f aca="false">IFERROR(IF($C$7*G18 = 0, "", $C$7*G18), "")</f>
        <v>42.5454545454546</v>
      </c>
      <c r="L18" s="8" t="str">
        <f aca="false">IFERROR(IF($C$7*H18 = 0, "", $C$7*H18), "")</f>
        <v/>
      </c>
      <c r="M18" s="9"/>
      <c r="N18" s="9"/>
      <c r="O18" s="9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customFormat="false" ht="15.75" hidden="false" customHeight="false" outlineLevel="0" collapsed="false">
      <c r="A19" s="2" t="s">
        <v>19</v>
      </c>
      <c r="B19" s="3" t="s">
        <v>14</v>
      </c>
      <c r="C19" s="8"/>
      <c r="D19" s="8" t="n">
        <v>10</v>
      </c>
      <c r="E19" s="8"/>
      <c r="F19" s="8"/>
      <c r="G19" s="8" t="str">
        <f aca="false">IF(C19/C2 = 0, "", C19/C2)</f>
        <v/>
      </c>
      <c r="H19" s="8" t="n">
        <f aca="false">IF(D19/D2 = 0, "", D19/D2)</f>
        <v>0.133333333333333</v>
      </c>
      <c r="I19" s="8"/>
      <c r="J19" s="8"/>
      <c r="K19" s="8" t="str">
        <f aca="false">IFERROR(IF($C$7*G19 = 0, "", $C$7*G19), "")</f>
        <v/>
      </c>
      <c r="L19" s="8" t="n">
        <f aca="false">IFERROR(IF($C$7*H19 = 0, "", $C$7*H19), "")</f>
        <v>15.6</v>
      </c>
      <c r="M19" s="9"/>
      <c r="N19" s="9"/>
      <c r="O19" s="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customFormat="false" ht="15.75" hidden="false" customHeight="false" outlineLevel="0" collapsed="false">
      <c r="A20" s="2" t="s">
        <v>20</v>
      </c>
      <c r="B20" s="3" t="s">
        <v>14</v>
      </c>
      <c r="C20" s="8" t="n">
        <v>10</v>
      </c>
      <c r="D20" s="8"/>
      <c r="E20" s="8"/>
      <c r="F20" s="8"/>
      <c r="G20" s="8" t="n">
        <f aca="false">IF(C20/C2 = 0, "", C20/C2)</f>
        <v>0.181818181818182</v>
      </c>
      <c r="H20" s="8" t="str">
        <f aca="false">IF(D20/D2 = 0, "", D20/D2)</f>
        <v/>
      </c>
      <c r="I20" s="8"/>
      <c r="J20" s="8"/>
      <c r="K20" s="8" t="n">
        <f aca="false">IFERROR(IF($C$7*G20 = 0, "", $C$7*G20), "")</f>
        <v>21.2727272727273</v>
      </c>
      <c r="L20" s="8" t="str">
        <f aca="false">IFERROR(IF($C$7*H20 = 0, "", $C$7*H20), "")</f>
        <v/>
      </c>
      <c r="M20" s="9"/>
      <c r="N20" s="9"/>
      <c r="O20" s="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customFormat="false" ht="15.75" hidden="false" customHeight="false" outlineLevel="0" collapsed="false">
      <c r="A21" s="2" t="s">
        <v>21</v>
      </c>
      <c r="B21" s="3" t="s">
        <v>14</v>
      </c>
      <c r="C21" s="8" t="n">
        <v>5</v>
      </c>
      <c r="D21" s="8"/>
      <c r="E21" s="8"/>
      <c r="F21" s="8"/>
      <c r="G21" s="8" t="n">
        <f aca="false">IF(C21/C2 = 0, "", C21/C2)</f>
        <v>0.0909090909090909</v>
      </c>
      <c r="H21" s="8" t="str">
        <f aca="false">IF(D21/D2 = 0, "", D21/D2)</f>
        <v/>
      </c>
      <c r="I21" s="8"/>
      <c r="J21" s="8"/>
      <c r="K21" s="8" t="n">
        <f aca="false">IFERROR(IF($C$7*G21 = 0, "", $C$7*G21), "")</f>
        <v>10.6363636363636</v>
      </c>
      <c r="L21" s="8" t="str">
        <f aca="false">IFERROR(IF($C$7*H21 = 0, "", $C$7*H21), "")</f>
        <v/>
      </c>
      <c r="M21" s="9"/>
      <c r="N21" s="9"/>
      <c r="O21" s="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customFormat="false" ht="15.75" hidden="false" customHeight="false" outlineLevel="0" collapsed="false">
      <c r="A22" s="2" t="s">
        <v>22</v>
      </c>
      <c r="B22" s="3" t="s">
        <v>14</v>
      </c>
      <c r="C22" s="8"/>
      <c r="D22" s="8" t="n">
        <v>5</v>
      </c>
      <c r="E22" s="8"/>
      <c r="F22" s="8"/>
      <c r="G22" s="8" t="str">
        <f aca="false">IF(C22/C2 = 0, "", C22/C2)</f>
        <v/>
      </c>
      <c r="H22" s="8" t="n">
        <f aca="false">IF(D22/D2 = 0, "", D22/D2)</f>
        <v>0.0666666666666667</v>
      </c>
      <c r="I22" s="8"/>
      <c r="J22" s="8"/>
      <c r="K22" s="8" t="str">
        <f aca="false">IFERROR(IF($C$7*G22 = 0, "", $C$7*G22), "")</f>
        <v/>
      </c>
      <c r="L22" s="8" t="n">
        <f aca="false">IFERROR(IF($C$7*H22 = 0, "", $C$7*H22), "")</f>
        <v>7.8</v>
      </c>
      <c r="M22" s="9"/>
      <c r="N22" s="9"/>
      <c r="O22" s="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customFormat="false" ht="15.75" hidden="false" customHeight="false" outlineLevel="0" collapsed="false">
      <c r="A23" s="2" t="s">
        <v>23</v>
      </c>
      <c r="B23" s="3" t="s">
        <v>14</v>
      </c>
      <c r="C23" s="8" t="n">
        <v>5</v>
      </c>
      <c r="D23" s="8"/>
      <c r="E23" s="8"/>
      <c r="F23" s="8"/>
      <c r="G23" s="8" t="n">
        <f aca="false">IF(C23/C2 = 0, "", C23/C2)</f>
        <v>0.0909090909090909</v>
      </c>
      <c r="H23" s="8" t="str">
        <f aca="false">IF(D23/D2 = 0, "", D23/D2)</f>
        <v/>
      </c>
      <c r="I23" s="8"/>
      <c r="J23" s="8"/>
      <c r="K23" s="8" t="n">
        <f aca="false">IFERROR(IF($C$7*G23 = 0, "", $C$7*G23), "")</f>
        <v>10.6363636363636</v>
      </c>
      <c r="L23" s="8" t="str">
        <f aca="false">IFERROR(IF($C$7*H23 = 0, "", $C$7*H23), "")</f>
        <v/>
      </c>
      <c r="M23" s="9"/>
      <c r="N23" s="9"/>
      <c r="O23" s="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customFormat="false" ht="15.75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1"/>
    </row>
    <row r="25" customFormat="false" ht="15.75" hidden="false" customHeight="false" outlineLevel="0" collapsed="false"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customFormat="false" ht="15.75" hidden="false" customHeight="false" outlineLevel="0" collapsed="false"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customFormat="false" ht="15.75" hidden="false" customHeight="false" outlineLevel="0" collapsed="false"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customFormat="false" ht="15.75" hidden="false" customHeight="false" outlineLevel="0" collapsed="false"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2025-07-28T14:17:05Z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